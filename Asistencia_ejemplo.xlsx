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Sesiones" sheetId="3" state="visible" r:id="rId5"/>
    <sheet name="No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<sst xmlns="http://schemas.openxmlformats.org/spreadsheetml/2006/main" count="219" uniqueCount="57">
  <si>
    <t xml:space="preserve">Control de Asistencia</t>
  </si>
  <si>
    <t xml:space="preserve">Entrada · Descanso · Salida</t>
  </si>
  <si>
    <t xml:space="preserve">Periodo</t>
  </si>
  <si>
    <t xml:space="preserve">03/08/2026 — 19/08/2026</t>
  </si>
  <si>
    <t xml:space="preserve">Alcance</t>
  </si>
  <si>
    <t xml:space="preserve">Toda la organización</t>
  </si>
  <si>
    <t xml:space="preserve">Generado para</t>
  </si>
  <si>
    <t xml:space="preserve">jefe@empresa.com</t>
  </si>
  <si>
    <t xml:space="preserve">Generado el</t>
  </si>
  <si>
    <t xml:space="preserve">19/08/2026</t>
  </si>
  <si>
    <t xml:space="preserve">Días con registro</t>
  </si>
  <si>
    <t xml:space="preserve">Totales por empleado</t>
  </si>
  <si>
    <t xml:space="preserve">Empleado</t>
  </si>
  <si>
    <t xml:space="preserve">Correo</t>
  </si>
  <si>
    <t xml:space="preserve">Departamento</t>
  </si>
  <si>
    <t xml:space="preserve">Días</t>
  </si>
  <si>
    <t xml:space="preserve">Horas presencia</t>
  </si>
  <si>
    <t xml:space="preserve">Horas descanso</t>
  </si>
  <si>
    <t xml:space="preserve">Horas trabajadas</t>
  </si>
  <si>
    <t xml:space="preserve">Horas extra</t>
  </si>
  <si>
    <t xml:space="preserve">Horas faltantes</t>
  </si>
  <si>
    <t xml:space="preserve">Exceso descanso (min)</t>
  </si>
  <si>
    <t xml:space="preserve">Promedio trabajado/día</t>
  </si>
  <si>
    <t xml:space="preserve">Ana Gómez</t>
  </si>
  <si>
    <t xml:space="preserve">ana@empresa.com</t>
  </si>
  <si>
    <t xml:space="preserve">Servicio</t>
  </si>
  <si>
    <t xml:space="preserve">Luis Pérez</t>
  </si>
  <si>
    <t xml:space="preserve">luis@empresa.com</t>
  </si>
  <si>
    <t xml:space="preserve">Ventas</t>
  </si>
  <si>
    <t xml:space="preserve">María Jefe</t>
  </si>
  <si>
    <t xml:space="preserve">Operaciones</t>
  </si>
  <si>
    <t xml:space="preserve">TOTAL</t>
  </si>
  <si>
    <t xml:space="preserve">Fecha</t>
  </si>
  <si>
    <t xml:space="preserve">Primera entrada</t>
  </si>
  <si>
    <t xml:space="preserve">Última salida</t>
  </si>
  <si>
    <t xml:space="preserve">Sesiones</t>
  </si>
  <si>
    <t xml:space="preserve">Descanso permitido (min)</t>
  </si>
  <si>
    <t xml:space="preserve">Trabajo esperado</t>
  </si>
  <si>
    <t xml:space="preserve">Entrada</t>
  </si>
  <si>
    <t xml:space="preserve">Salida</t>
  </si>
  <si>
    <t xml:space="preserve">Descansos</t>
  </si>
  <si>
    <t xml:space="preserve">Cómo leer este reporte</t>
  </si>
  <si>
    <t xml:space="preserve">Cómo se calculan las horas</t>
  </si>
  <si>
    <t xml:space="preserve">Presencia = tiempo entre entrada y salida. Descanso = suma de los periodos marcados como descanso. Trabajadas = presencia menos descanso. Solo las horas trabajadas cuentan para extras y faltantes.</t>
  </si>
  <si>
    <t xml:space="preserve">Jornada y descanso son por persona</t>
  </si>
  <si>
    <t xml:space="preserve">Cada empleado tiene su propia jornada y su propio descanso permitido, configurables por el administrador. La columna 'Trabajo esperado' muestra la meta de trabajo efectivo que aplica a esa persona.</t>
  </si>
  <si>
    <t xml:space="preserve">Jornada que incluye el descanso</t>
  </si>
  <si>
    <t xml:space="preserve">Por defecto, una jornada de 8 h con 1 h de descanso significa 8 h de presencia y 7 h de trabajo efectivo. Si un empleado está configurado al revés, su 'Trabajo esperado' será de 8 h y su presencia esperada de 9 h.</t>
  </si>
  <si>
    <t xml:space="preserve">Exceso de descanso</t>
  </si>
  <si>
    <t xml:space="preserve">Minutos de descanso por encima de lo permitido, resaltados en rojo. Es informativo: no se descuenta automáticamente de las horas trabajadas.</t>
  </si>
  <si>
    <t xml:space="preserve">Un día puede tener varias sesiones si la persona marcó salida y volvió a entrar. El detalle diario suma todas las sesiones de la fecha.</t>
  </si>
  <si>
    <t xml:space="preserve">Jornadas sin cerrar</t>
  </si>
  <si>
    <t xml:space="preserve">Si alguien olvida marcar salida, esa jornada NO aparece aquí hasta que se corrija. Revisa las alertas del panel antes de cerrar el periodo.</t>
  </si>
  <si>
    <t xml:space="preserve">Cambios de horario</t>
  </si>
  <si>
    <t xml:space="preserve">La jornada y el descanso se leen de la configuración ACTUAL del empleado. Si cambias el horario de alguien, los días anteriores se recalculan con el valor nuevo. Exporta y archiva el reporte antes de hacer cambios retroactivos.</t>
  </si>
  <si>
    <t xml:space="preserve">Correcciones y auditoría</t>
  </si>
  <si>
    <t xml:space="preserve">Las marcaciones manuales quedan con registro de quién las hizo y por qué; no se borra el registro original. Cada exportación también queda registrada.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</si>
</sst>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dd/mm/yyyy"/>
    <numFmt numFmtId="168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81574"/>
      <name val="Poppins"/>
      <family val="0"/>
      <charset val="1"/>
    </font>
    <font>
      <sz val="11"/>
      <color rgb="FFA200FF"/>
      <name val="Poppins"/>
      <family val="0"/>
      <charset val="1"/>
    </font>
    <font>
      <b val="true"/>
      <sz val="10"/>
      <color rgb="FF6B6B6B"/>
      <name val="Poppins"/>
      <family val="0"/>
      <charset val="1"/>
    </font>
    <font>
      <sz val="10"/>
      <color rgb="FF0C0C0C"/>
      <name val="Poppins"/>
      <family val="0"/>
      <charset val="1"/>
    </font>
    <font>
      <b val="true"/>
      <sz val="13"/>
      <color rgb="FF381574"/>
      <name val="Poppins"/>
      <family val="0"/>
      <charset val="1"/>
    </font>
    <font>
      <b val="true"/>
      <sz val="10"/>
      <color rgb="FFFAFAFA"/>
      <name val="Poppins"/>
      <family val="0"/>
      <charset val="1"/>
    </font>
    <font>
      <b val="true"/>
      <sz val="10"/>
      <color rgb="FFD62612"/>
      <name val="Poppins"/>
      <family val="0"/>
      <charset val="1"/>
    </font>
    <font>
      <b val="true"/>
      <sz val="14"/>
      <color rgb="FF381574"/>
      <name val="Poppins"/>
      <family val="0"/>
      <charset val="1"/>
    </font>
    <font>
      <b val="true"/>
      <sz val="10"/>
      <color rgb="FFA200FF"/>
      <name val="Poppi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81574"/>
        <bgColor rgb="FF660066"/>
      </patternFill>
    </fill>
    <fill>
      <patternFill patternType="solid">
        <fgColor rgb="FFA200FF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8157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C0C0C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fgColor rgb="FFD62612"/>
          <bgColor rgb="FF000000"/>
        </patternFill>
      </fill>
    </dxf>
  </dxf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2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C0C0C"/>
      <rgbColor rgb="FF333300"/>
      <rgbColor rgb="FFD62612"/>
      <rgbColor rgb="FF993366"/>
      <rgbColor rgb="FF38157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talleDiario" displayName="DetalleDiario" ref="A1:O30" headerRowCount="1" totalsRowCount="0" totalsRowShown="0">
  <autoFilter ref="A1:O30"/>
  <tableColumns count="15">
    <tableColumn id="1" name="Fecha"/>
    <tableColumn id="2" name="Empleado"/>
    <tableColumn id="3" name="Correo"/>
    <tableColumn id="4" name="Departamento"/>
    <tableColumn id="5" name="Primera entrada"/>
    <tableColumn id="6" name="Última salida"/>
    <tableColumn id="7" name="Sesiones"/>
    <tableColumn id="8" name="Horas presencia"/>
    <tableColumn id="9" name="Horas descanso"/>
    <tableColumn id="10" name="Horas trabajadas"/>
    <tableColumn id="11" name="Descanso permitido (min)"/>
    <tableColumn id="12" name="Trabajo esperado"/>
    <tableColumn id="13" name="Exceso descanso (min)"/>
    <tableColumn id="14" name="Horas extra"/>
    <tableColumn id="15" name="Horas faltantes"/>
  </tableColumns>
</table>
</file>

<file path=xl/tables/table2.xml><?xml version="1.0" encoding="utf-8"?>
<table xmlns="http://schemas.openxmlformats.org/spreadsheetml/2006/main" id="2" name="Sesiones" displayName="Sesiones" ref="A1:I30" headerRowCount="1" totalsRowCount="0" totalsRowShown="0">
  <autoFilter ref="A1:I30"/>
  <tableColumns count="9">
    <tableColumn id="1" name="Fecha"/>
    <tableColumn id="2" name="Empleado"/>
    <tableColumn id="3" name="Departamento"/>
    <tableColumn id="4" name="Entrada"/>
    <tableColumn id="5" name="Salida"/>
    <tableColumn id="6" name="Horas presencia"/>
    <tableColumn id="7" name="Horas descanso"/>
    <tableColumn id="8" name="Horas trabajadas"/>
    <tableColumn id="9" name="Descanso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2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n">
        <v>29</v>
      </c>
    </row>
    <row r="12" customFormat="false" ht="16.15" hidden="false" customHeight="false" outlineLevel="0" collapsed="false">
      <c r="B12" s="5" t="s">
        <v>11</v>
      </c>
    </row>
    <row r="13" customFormat="false" ht="29.85" hidden="false" customHeight="false" outlineLevel="0" collapsed="false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</row>
    <row r="14" customFormat="false" ht="15" hidden="false" customHeight="false" outlineLevel="0" collapsed="false">
      <c r="A14" s="7" t="s">
        <v>23</v>
      </c>
      <c r="B14" s="7" t="s">
        <v>24</v>
      </c>
      <c r="C14" s="7" t="s">
        <v>25</v>
      </c>
      <c r="D14" s="8" t="n">
        <f aca="false">COUNTIF(Detalle!$C:$C,$B14)</f>
        <v>10</v>
      </c>
      <c r="E14" s="9" t="n">
        <f aca="false">SUMIF(Detalle!$C:$C,$B14,Detalle!$H:$H)</f>
        <v>82.5</v>
      </c>
      <c r="F14" s="9" t="n">
        <f aca="false">SUMIF(Detalle!$C:$C,$B14,Detalle!$I:$I)</f>
        <v>9.25</v>
      </c>
      <c r="G14" s="9" t="n">
        <f aca="false">SUMIF(Detalle!$C:$C,$B14,Detalle!$J:$J)</f>
        <v>73.25</v>
      </c>
      <c r="H14" s="9" t="n">
        <f aca="false">SUMIF(Detalle!$C:$C,$B14,Detalle!$N:$N)</f>
        <v>2.41</v>
      </c>
      <c r="I14" s="9" t="n">
        <f aca="false">SUMIF(Detalle!$C:$C,$B14,Detalle!$O:$O)</f>
        <v>1.66</v>
      </c>
      <c r="J14" s="8" t="n">
        <f aca="false">SUMIF(Detalle!$C:$C,$B14,Detalle!$M:$M)</f>
        <v>135</v>
      </c>
      <c r="K14" s="9" t="n">
        <f aca="false">IFERROR($G14/$D14,0)</f>
        <v>7.325</v>
      </c>
    </row>
    <row r="15" customFormat="false" ht="15" hidden="false" customHeight="false" outlineLevel="0" collapsed="false">
      <c r="A15" s="7" t="s">
        <v>26</v>
      </c>
      <c r="B15" s="7" t="s">
        <v>27</v>
      </c>
      <c r="C15" s="7" t="s">
        <v>28</v>
      </c>
      <c r="D15" s="8" t="n">
        <f aca="false">COUNTIF(Detalle!$C:$C,$B15)</f>
        <v>9</v>
      </c>
      <c r="E15" s="9" t="n">
        <f aca="false">SUMIF(Detalle!$C:$C,$B15,Detalle!$H:$H)</f>
        <v>54.96</v>
      </c>
      <c r="F15" s="9" t="n">
        <f aca="false">SUMIF(Detalle!$C:$C,$B15,Detalle!$I:$I)</f>
        <v>9</v>
      </c>
      <c r="G15" s="9" t="n">
        <f aca="false">SUMIF(Detalle!$C:$C,$B15,Detalle!$J:$J)</f>
        <v>45.96</v>
      </c>
      <c r="H15" s="9" t="n">
        <f aca="false">SUMIF(Detalle!$C:$C,$B15,Detalle!$N:$N)</f>
        <v>0.12</v>
      </c>
      <c r="I15" s="9" t="n">
        <f aca="false">SUMIF(Detalle!$C:$C,$B15,Detalle!$O:$O)</f>
        <v>3.66</v>
      </c>
      <c r="J15" s="8" t="n">
        <f aca="false">SUMIF(Detalle!$C:$C,$B15,Detalle!$M:$M)</f>
        <v>270</v>
      </c>
      <c r="K15" s="9" t="n">
        <f aca="false">IFERROR($G15/$D15,0)</f>
        <v>5.10666666666667</v>
      </c>
    </row>
    <row r="16" customFormat="false" ht="15" hidden="false" customHeight="false" outlineLevel="0" collapsed="false">
      <c r="A16" s="7" t="s">
        <v>29</v>
      </c>
      <c r="B16" s="7" t="s">
        <v>7</v>
      </c>
      <c r="C16" s="7" t="s">
        <v>30</v>
      </c>
      <c r="D16" s="8" t="n">
        <f aca="false">COUNTIF(Detalle!$C:$C,$B16)</f>
        <v>10</v>
      </c>
      <c r="E16" s="9" t="n">
        <f aca="false">SUMIF(Detalle!$C:$C,$B16,Detalle!$H:$H)</f>
        <v>82.71</v>
      </c>
      <c r="F16" s="9" t="n">
        <f aca="false">SUMIF(Detalle!$C:$C,$B16,Detalle!$I:$I)</f>
        <v>9</v>
      </c>
      <c r="G16" s="9" t="n">
        <f aca="false">SUMIF(Detalle!$C:$C,$B16,Detalle!$J:$J)</f>
        <v>73.71</v>
      </c>
      <c r="H16" s="9" t="n">
        <f aca="false">SUMIF(Detalle!$C:$C,$B16,Detalle!$N:$N)</f>
        <v>4.41</v>
      </c>
      <c r="I16" s="9" t="n">
        <f aca="false">SUMIF(Detalle!$C:$C,$B16,Detalle!$O:$O)</f>
        <v>0.7</v>
      </c>
      <c r="J16" s="8" t="n">
        <f aca="false">SUMIF(Detalle!$C:$C,$B16,Detalle!$M:$M)</f>
        <v>60</v>
      </c>
      <c r="K16" s="9" t="n">
        <f aca="false">IFERROR($G16/$D16,0)</f>
        <v>7.371</v>
      </c>
    </row>
    <row r="17" customFormat="false" ht="15" hidden="false" customHeight="false" outlineLevel="0" collapsed="false">
      <c r="A17" s="10" t="s">
        <v>31</v>
      </c>
      <c r="B17" s="10"/>
      <c r="C17" s="10"/>
      <c r="D17" s="11" t="n">
        <f aca="false">SUM(D14:D16)</f>
        <v>29</v>
      </c>
      <c r="E17" s="12" t="n">
        <f aca="false">SUM(E14:E16)</f>
        <v>220.17</v>
      </c>
      <c r="F17" s="12" t="n">
        <f aca="false">SUM(F14:F16)</f>
        <v>27.25</v>
      </c>
      <c r="G17" s="12" t="n">
        <f aca="false">SUM(G14:G16)</f>
        <v>192.92</v>
      </c>
      <c r="H17" s="12" t="n">
        <f aca="false">SUM(H14:H16)</f>
        <v>6.94</v>
      </c>
      <c r="I17" s="12" t="n">
        <f aca="false">SUM(I14:I16)</f>
        <v>6.02</v>
      </c>
      <c r="J17" s="11" t="n">
        <f aca="false">SUM(J14:J16)</f>
        <v>465</v>
      </c>
      <c r="K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6" min="5" style="0" width="18"/>
    <col collapsed="false" customWidth="true" hidden="false" outlineLevel="0" max="7" min="7" style="0" width="10"/>
    <col collapsed="false" customWidth="true" hidden="false" outlineLevel="0" max="9" min="8" style="0" width="15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9"/>
    <col collapsed="false" customWidth="true" hidden="false" outlineLevel="0" max="14" min="14" style="0" width="13"/>
    <col collapsed="false" customWidth="true" hidden="false" outlineLevel="0" max="15" min="15" style="0" width="15"/>
  </cols>
  <sheetData>
    <row r="1" customFormat="false" ht="29.85" hidden="false" customHeight="false" outlineLevel="0" collapsed="false">
      <c r="A1" s="6" t="s">
        <v>32</v>
      </c>
      <c r="B1" s="6" t="s">
        <v>12</v>
      </c>
      <c r="C1" s="6" t="s">
        <v>13</v>
      </c>
      <c r="D1" s="6" t="s">
        <v>14</v>
      </c>
      <c r="E1" s="6" t="s">
        <v>33</v>
      </c>
      <c r="F1" s="6" t="s">
        <v>34</v>
      </c>
      <c r="G1" s="6" t="s">
        <v>35</v>
      </c>
      <c r="H1" s="6" t="s">
        <v>16</v>
      </c>
      <c r="I1" s="6" t="s">
        <v>17</v>
      </c>
      <c r="J1" s="6" t="s">
        <v>18</v>
      </c>
      <c r="K1" s="6" t="s">
        <v>36</v>
      </c>
      <c r="L1" s="6" t="s">
        <v>37</v>
      </c>
      <c r="M1" s="6" t="s">
        <v>21</v>
      </c>
      <c r="N1" s="6" t="s">
        <v>19</v>
      </c>
      <c r="O1" s="6" t="s">
        <v>20</v>
      </c>
    </row>
    <row r="2" customFormat="false" ht="15" hidden="false" customHeight="false" outlineLevel="0" collapsed="false">
      <c r="A2" s="13" t="n">
        <v>46237</v>
      </c>
      <c r="B2" s="7" t="s">
        <v>29</v>
      </c>
      <c r="C2" s="7" t="s">
        <v>7</v>
      </c>
      <c r="D2" s="7" t="s">
        <v>30</v>
      </c>
      <c r="E2" s="14" t="n">
        <v>46237.3388888889</v>
      </c>
      <c r="F2" s="14" t="n">
        <v>46237.6965277778</v>
      </c>
      <c r="G2" s="8" t="n">
        <v>1</v>
      </c>
      <c r="H2" s="9" t="n">
        <v>8.58</v>
      </c>
      <c r="I2" s="9" t="n">
        <v>1</v>
      </c>
      <c r="J2" s="9" t="n">
        <v>7.58</v>
      </c>
      <c r="K2" s="8" t="n">
        <v>60</v>
      </c>
      <c r="L2" s="9" t="n">
        <v>7</v>
      </c>
      <c r="M2" s="8" t="n">
        <v>0</v>
      </c>
      <c r="N2" s="9" t="n">
        <v>0.58</v>
      </c>
      <c r="O2" s="9" t="n">
        <v>0</v>
      </c>
    </row>
    <row r="3" customFormat="false" ht="15" hidden="false" customHeight="false" outlineLevel="0" collapsed="false">
      <c r="A3" s="13" t="n">
        <v>46238</v>
      </c>
      <c r="B3" s="7" t="s">
        <v>29</v>
      </c>
      <c r="C3" s="7" t="s">
        <v>7</v>
      </c>
      <c r="D3" s="7" t="s">
        <v>30</v>
      </c>
      <c r="E3" s="14" t="n">
        <v>46238.3333333333</v>
      </c>
      <c r="F3" s="14" t="n">
        <v>46238.6902777778</v>
      </c>
      <c r="G3" s="8" t="n">
        <v>1</v>
      </c>
      <c r="H3" s="9" t="n">
        <v>8.57</v>
      </c>
      <c r="I3" s="9" t="n">
        <v>1.25</v>
      </c>
      <c r="J3" s="9" t="n">
        <v>7.32</v>
      </c>
      <c r="K3" s="8" t="n">
        <v>60</v>
      </c>
      <c r="L3" s="9" t="n">
        <v>7</v>
      </c>
      <c r="M3" s="15" t="n">
        <v>15</v>
      </c>
      <c r="N3" s="9" t="n">
        <v>0.32</v>
      </c>
      <c r="O3" s="9" t="n">
        <v>0</v>
      </c>
    </row>
    <row r="4" customFormat="false" ht="15" hidden="false" customHeight="false" outlineLevel="0" collapsed="false">
      <c r="A4" s="13" t="n">
        <v>46239</v>
      </c>
      <c r="B4" s="7" t="s">
        <v>29</v>
      </c>
      <c r="C4" s="7" t="s">
        <v>7</v>
      </c>
      <c r="D4" s="7" t="s">
        <v>30</v>
      </c>
      <c r="E4" s="14" t="n">
        <v>46239.3381944444</v>
      </c>
      <c r="F4" s="14" t="n">
        <v>46239.6680555556</v>
      </c>
      <c r="G4" s="8" t="n">
        <v>1</v>
      </c>
      <c r="H4" s="9" t="n">
        <v>7.92</v>
      </c>
      <c r="I4" s="9" t="n">
        <v>0.5</v>
      </c>
      <c r="J4" s="9" t="n">
        <v>7.42</v>
      </c>
      <c r="K4" s="8" t="n">
        <v>60</v>
      </c>
      <c r="L4" s="9" t="n">
        <v>7</v>
      </c>
      <c r="M4" s="8" t="n">
        <v>0</v>
      </c>
      <c r="N4" s="9" t="n">
        <v>0.42</v>
      </c>
      <c r="O4" s="9" t="n">
        <v>0</v>
      </c>
    </row>
    <row r="5" customFormat="false" ht="15" hidden="false" customHeight="false" outlineLevel="0" collapsed="false">
      <c r="A5" s="13" t="n">
        <v>46240</v>
      </c>
      <c r="B5" s="7" t="s">
        <v>29</v>
      </c>
      <c r="C5" s="7" t="s">
        <v>7</v>
      </c>
      <c r="D5" s="7" t="s">
        <v>30</v>
      </c>
      <c r="E5" s="14" t="n">
        <v>46240.3354166667</v>
      </c>
      <c r="F5" s="14" t="n">
        <v>46240.6965277778</v>
      </c>
      <c r="G5" s="8" t="n">
        <v>1</v>
      </c>
      <c r="H5" s="9" t="n">
        <v>8.67</v>
      </c>
      <c r="I5" s="9" t="n">
        <v>1.25</v>
      </c>
      <c r="J5" s="9" t="n">
        <v>7.42</v>
      </c>
      <c r="K5" s="8" t="n">
        <v>60</v>
      </c>
      <c r="L5" s="9" t="n">
        <v>7</v>
      </c>
      <c r="M5" s="15" t="n">
        <v>15</v>
      </c>
      <c r="N5" s="9" t="n">
        <v>0.42</v>
      </c>
      <c r="O5" s="9" t="n">
        <v>0</v>
      </c>
    </row>
    <row r="6" customFormat="false" ht="15" hidden="false" customHeight="false" outlineLevel="0" collapsed="false">
      <c r="A6" s="13" t="n">
        <v>46241</v>
      </c>
      <c r="B6" s="7" t="s">
        <v>29</v>
      </c>
      <c r="C6" s="7" t="s">
        <v>7</v>
      </c>
      <c r="D6" s="7" t="s">
        <v>30</v>
      </c>
      <c r="E6" s="14" t="n">
        <v>46241.3381944444</v>
      </c>
      <c r="F6" s="14" t="n">
        <v>46241.6861111111</v>
      </c>
      <c r="G6" s="8" t="n">
        <v>1</v>
      </c>
      <c r="H6" s="9" t="n">
        <v>8.35</v>
      </c>
      <c r="I6" s="9" t="n">
        <v>0.5</v>
      </c>
      <c r="J6" s="9" t="n">
        <v>7.85</v>
      </c>
      <c r="K6" s="8" t="n">
        <v>60</v>
      </c>
      <c r="L6" s="9" t="n">
        <v>7</v>
      </c>
      <c r="M6" s="8" t="n">
        <v>0</v>
      </c>
      <c r="N6" s="9" t="n">
        <v>0.85</v>
      </c>
      <c r="O6" s="9" t="n">
        <v>0</v>
      </c>
    </row>
    <row r="7" customFormat="false" ht="15" hidden="false" customHeight="false" outlineLevel="0" collapsed="false">
      <c r="A7" s="13" t="n">
        <v>46244</v>
      </c>
      <c r="B7" s="7" t="s">
        <v>29</v>
      </c>
      <c r="C7" s="7" t="s">
        <v>7</v>
      </c>
      <c r="D7" s="7" t="s">
        <v>30</v>
      </c>
      <c r="E7" s="14" t="n">
        <v>46244.3381944444</v>
      </c>
      <c r="F7" s="14" t="n">
        <v>46244.6791666667</v>
      </c>
      <c r="G7" s="8" t="n">
        <v>1</v>
      </c>
      <c r="H7" s="9" t="n">
        <v>8.18</v>
      </c>
      <c r="I7" s="9" t="n">
        <v>0.75</v>
      </c>
      <c r="J7" s="9" t="n">
        <v>7.43</v>
      </c>
      <c r="K7" s="8" t="n">
        <v>60</v>
      </c>
      <c r="L7" s="9" t="n">
        <v>7</v>
      </c>
      <c r="M7" s="8" t="n">
        <v>0</v>
      </c>
      <c r="N7" s="9" t="n">
        <v>0.43</v>
      </c>
      <c r="O7" s="9" t="n">
        <v>0</v>
      </c>
    </row>
    <row r="8" customFormat="false" ht="15" hidden="false" customHeight="false" outlineLevel="0" collapsed="false">
      <c r="A8" s="13" t="n">
        <v>46245</v>
      </c>
      <c r="B8" s="7" t="s">
        <v>29</v>
      </c>
      <c r="C8" s="7" t="s">
        <v>7</v>
      </c>
      <c r="D8" s="7" t="s">
        <v>30</v>
      </c>
      <c r="E8" s="14" t="n">
        <v>46245.3388888889</v>
      </c>
      <c r="F8" s="14" t="n">
        <v>46245.66875</v>
      </c>
      <c r="G8" s="8" t="n">
        <v>1</v>
      </c>
      <c r="H8" s="9" t="n">
        <v>7.92</v>
      </c>
      <c r="I8" s="9" t="n">
        <v>1.25</v>
      </c>
      <c r="J8" s="9" t="n">
        <v>6.67</v>
      </c>
      <c r="K8" s="8" t="n">
        <v>60</v>
      </c>
      <c r="L8" s="9" t="n">
        <v>7</v>
      </c>
      <c r="M8" s="15" t="n">
        <v>15</v>
      </c>
      <c r="N8" s="9" t="n">
        <v>0</v>
      </c>
      <c r="O8" s="9" t="n">
        <v>0.33</v>
      </c>
    </row>
    <row r="9" customFormat="false" ht="15" hidden="false" customHeight="false" outlineLevel="0" collapsed="false">
      <c r="A9" s="13" t="n">
        <v>46246</v>
      </c>
      <c r="B9" s="7" t="s">
        <v>29</v>
      </c>
      <c r="C9" s="7" t="s">
        <v>7</v>
      </c>
      <c r="D9" s="7" t="s">
        <v>30</v>
      </c>
      <c r="E9" s="14" t="n">
        <v>46246.3347222222</v>
      </c>
      <c r="F9" s="14" t="n">
        <v>46246.6631944445</v>
      </c>
      <c r="G9" s="8" t="n">
        <v>1</v>
      </c>
      <c r="H9" s="9" t="n">
        <v>7.88</v>
      </c>
      <c r="I9" s="9" t="n">
        <v>1.25</v>
      </c>
      <c r="J9" s="9" t="n">
        <v>6.63</v>
      </c>
      <c r="K9" s="8" t="n">
        <v>60</v>
      </c>
      <c r="L9" s="9" t="n">
        <v>7</v>
      </c>
      <c r="M9" s="15" t="n">
        <v>15</v>
      </c>
      <c r="N9" s="9" t="n">
        <v>0</v>
      </c>
      <c r="O9" s="9" t="n">
        <v>0.37</v>
      </c>
    </row>
    <row r="10" customFormat="false" ht="15" hidden="false" customHeight="false" outlineLevel="0" collapsed="false">
      <c r="A10" s="13" t="n">
        <v>46247</v>
      </c>
      <c r="B10" s="7" t="s">
        <v>29</v>
      </c>
      <c r="C10" s="7" t="s">
        <v>7</v>
      </c>
      <c r="D10" s="7" t="s">
        <v>30</v>
      </c>
      <c r="E10" s="14" t="n">
        <v>46247.3361111111</v>
      </c>
      <c r="F10" s="14" t="n">
        <v>46247.6680555556</v>
      </c>
      <c r="G10" s="8" t="n">
        <v>1</v>
      </c>
      <c r="H10" s="9" t="n">
        <v>7.97</v>
      </c>
      <c r="I10" s="9" t="n">
        <v>0.5</v>
      </c>
      <c r="J10" s="9" t="n">
        <v>7.47</v>
      </c>
      <c r="K10" s="8" t="n">
        <v>60</v>
      </c>
      <c r="L10" s="9" t="n">
        <v>7</v>
      </c>
      <c r="M10" s="8" t="n">
        <v>0</v>
      </c>
      <c r="N10" s="9" t="n">
        <v>0.47</v>
      </c>
      <c r="O10" s="9" t="n">
        <v>0</v>
      </c>
    </row>
    <row r="11" customFormat="false" ht="15" hidden="false" customHeight="false" outlineLevel="0" collapsed="false">
      <c r="A11" s="13" t="n">
        <v>46248</v>
      </c>
      <c r="B11" s="7" t="s">
        <v>29</v>
      </c>
      <c r="C11" s="7" t="s">
        <v>7</v>
      </c>
      <c r="D11" s="7" t="s">
        <v>30</v>
      </c>
      <c r="E11" s="14" t="n">
        <v>46248.3375</v>
      </c>
      <c r="F11" s="14" t="n">
        <v>46248.6986111111</v>
      </c>
      <c r="G11" s="8" t="n">
        <v>1</v>
      </c>
      <c r="H11" s="9" t="n">
        <v>8.67</v>
      </c>
      <c r="I11" s="9" t="n">
        <v>0.75</v>
      </c>
      <c r="J11" s="9" t="n">
        <v>7.92</v>
      </c>
      <c r="K11" s="8" t="n">
        <v>60</v>
      </c>
      <c r="L11" s="9" t="n">
        <v>7</v>
      </c>
      <c r="M11" s="8" t="n">
        <v>0</v>
      </c>
      <c r="N11" s="9" t="n">
        <v>0.92</v>
      </c>
      <c r="O11" s="9" t="n">
        <v>0</v>
      </c>
    </row>
    <row r="12" customFormat="false" ht="15" hidden="false" customHeight="false" outlineLevel="0" collapsed="false">
      <c r="A12" s="13" t="n">
        <v>46237</v>
      </c>
      <c r="B12" s="7" t="s">
        <v>23</v>
      </c>
      <c r="C12" s="7" t="s">
        <v>24</v>
      </c>
      <c r="D12" s="7" t="s">
        <v>25</v>
      </c>
      <c r="E12" s="14" t="n">
        <v>46237.3423611111</v>
      </c>
      <c r="F12" s="14" t="n">
        <v>46237.6909722222</v>
      </c>
      <c r="G12" s="8" t="n">
        <v>1</v>
      </c>
      <c r="H12" s="9" t="n">
        <v>8.37</v>
      </c>
      <c r="I12" s="9" t="n">
        <v>1.25</v>
      </c>
      <c r="J12" s="9" t="n">
        <v>7.12</v>
      </c>
      <c r="K12" s="8" t="n">
        <v>45</v>
      </c>
      <c r="L12" s="9" t="n">
        <v>7.25</v>
      </c>
      <c r="M12" s="15" t="n">
        <v>30</v>
      </c>
      <c r="N12" s="9" t="n">
        <v>0</v>
      </c>
      <c r="O12" s="9" t="n">
        <v>0.13</v>
      </c>
    </row>
    <row r="13" customFormat="false" ht="15" hidden="false" customHeight="false" outlineLevel="0" collapsed="false">
      <c r="A13" s="13" t="n">
        <v>46238</v>
      </c>
      <c r="B13" s="7" t="s">
        <v>23</v>
      </c>
      <c r="C13" s="7" t="s">
        <v>24</v>
      </c>
      <c r="D13" s="7" t="s">
        <v>25</v>
      </c>
      <c r="E13" s="14" t="n">
        <v>46238.3333333333</v>
      </c>
      <c r="F13" s="14" t="n">
        <v>46238.6875</v>
      </c>
      <c r="G13" s="8" t="n">
        <v>1</v>
      </c>
      <c r="H13" s="9" t="n">
        <v>8.5</v>
      </c>
      <c r="I13" s="9" t="n">
        <v>0.5</v>
      </c>
      <c r="J13" s="9" t="n">
        <v>8</v>
      </c>
      <c r="K13" s="8" t="n">
        <v>45</v>
      </c>
      <c r="L13" s="9" t="n">
        <v>7.25</v>
      </c>
      <c r="M13" s="8" t="n">
        <v>0</v>
      </c>
      <c r="N13" s="9" t="n">
        <v>0.75</v>
      </c>
      <c r="O13" s="9" t="n">
        <v>0</v>
      </c>
    </row>
    <row r="14" customFormat="false" ht="15" hidden="false" customHeight="false" outlineLevel="0" collapsed="false">
      <c r="A14" s="13" t="n">
        <v>46239</v>
      </c>
      <c r="B14" s="7" t="s">
        <v>23</v>
      </c>
      <c r="C14" s="7" t="s">
        <v>24</v>
      </c>
      <c r="D14" s="7" t="s">
        <v>25</v>
      </c>
      <c r="E14" s="14" t="n">
        <v>46239.3368055556</v>
      </c>
      <c r="F14" s="14" t="n">
        <v>46239.6645833333</v>
      </c>
      <c r="G14" s="8" t="n">
        <v>1</v>
      </c>
      <c r="H14" s="9" t="n">
        <v>7.87</v>
      </c>
      <c r="I14" s="9" t="n">
        <v>0.75</v>
      </c>
      <c r="J14" s="9" t="n">
        <v>7.12</v>
      </c>
      <c r="K14" s="8" t="n">
        <v>45</v>
      </c>
      <c r="L14" s="9" t="n">
        <v>7.25</v>
      </c>
      <c r="M14" s="8" t="n">
        <v>0</v>
      </c>
      <c r="N14" s="9" t="n">
        <v>0</v>
      </c>
      <c r="O14" s="9" t="n">
        <v>0.13</v>
      </c>
    </row>
    <row r="15" customFormat="false" ht="15" hidden="false" customHeight="false" outlineLevel="0" collapsed="false">
      <c r="A15" s="13" t="n">
        <v>46240</v>
      </c>
      <c r="B15" s="7" t="s">
        <v>23</v>
      </c>
      <c r="C15" s="7" t="s">
        <v>24</v>
      </c>
      <c r="D15" s="7" t="s">
        <v>25</v>
      </c>
      <c r="E15" s="14" t="n">
        <v>46240.3381944444</v>
      </c>
      <c r="F15" s="14" t="n">
        <v>46240.6763888889</v>
      </c>
      <c r="G15" s="8" t="n">
        <v>1</v>
      </c>
      <c r="H15" s="9" t="n">
        <v>8.12</v>
      </c>
      <c r="I15" s="9" t="n">
        <v>1.25</v>
      </c>
      <c r="J15" s="9" t="n">
        <v>6.87</v>
      </c>
      <c r="K15" s="8" t="n">
        <v>45</v>
      </c>
      <c r="L15" s="9" t="n">
        <v>7.25</v>
      </c>
      <c r="M15" s="15" t="n">
        <v>30</v>
      </c>
      <c r="N15" s="9" t="n">
        <v>0</v>
      </c>
      <c r="O15" s="9" t="n">
        <v>0.38</v>
      </c>
    </row>
    <row r="16" customFormat="false" ht="15" hidden="false" customHeight="false" outlineLevel="0" collapsed="false">
      <c r="A16" s="13" t="n">
        <v>46241</v>
      </c>
      <c r="B16" s="7" t="s">
        <v>23</v>
      </c>
      <c r="C16" s="7" t="s">
        <v>24</v>
      </c>
      <c r="D16" s="7" t="s">
        <v>25</v>
      </c>
      <c r="E16" s="14" t="n">
        <v>46241.3409722222</v>
      </c>
      <c r="F16" s="14" t="n">
        <v>46241.6979166667</v>
      </c>
      <c r="G16" s="8" t="n">
        <v>1</v>
      </c>
      <c r="H16" s="9" t="n">
        <v>8.57</v>
      </c>
      <c r="I16" s="9" t="n">
        <v>1</v>
      </c>
      <c r="J16" s="9" t="n">
        <v>7.57</v>
      </c>
      <c r="K16" s="8" t="n">
        <v>45</v>
      </c>
      <c r="L16" s="9" t="n">
        <v>7.25</v>
      </c>
      <c r="M16" s="15" t="n">
        <v>15</v>
      </c>
      <c r="N16" s="9" t="n">
        <v>0.32</v>
      </c>
      <c r="O16" s="9" t="n">
        <v>0</v>
      </c>
    </row>
    <row r="17" customFormat="false" ht="15" hidden="false" customHeight="false" outlineLevel="0" collapsed="false">
      <c r="A17" s="13" t="n">
        <v>46244</v>
      </c>
      <c r="B17" s="7" t="s">
        <v>23</v>
      </c>
      <c r="C17" s="7" t="s">
        <v>24</v>
      </c>
      <c r="D17" s="7" t="s">
        <v>25</v>
      </c>
      <c r="E17" s="14" t="n">
        <v>46244.3430555556</v>
      </c>
      <c r="F17" s="14" t="n">
        <v>46244.7041666667</v>
      </c>
      <c r="G17" s="8" t="n">
        <v>1</v>
      </c>
      <c r="H17" s="9" t="n">
        <v>8.67</v>
      </c>
      <c r="I17" s="9" t="n">
        <v>1</v>
      </c>
      <c r="J17" s="9" t="n">
        <v>7.67</v>
      </c>
      <c r="K17" s="8" t="n">
        <v>45</v>
      </c>
      <c r="L17" s="9" t="n">
        <v>7.25</v>
      </c>
      <c r="M17" s="15" t="n">
        <v>15</v>
      </c>
      <c r="N17" s="9" t="n">
        <v>0.42</v>
      </c>
      <c r="O17" s="9" t="n">
        <v>0</v>
      </c>
    </row>
    <row r="18" customFormat="false" ht="15" hidden="false" customHeight="false" outlineLevel="0" collapsed="false">
      <c r="A18" s="13" t="n">
        <v>46245</v>
      </c>
      <c r="B18" s="7" t="s">
        <v>23</v>
      </c>
      <c r="C18" s="7" t="s">
        <v>24</v>
      </c>
      <c r="D18" s="7" t="s">
        <v>25</v>
      </c>
      <c r="E18" s="14" t="n">
        <v>46245.3395833333</v>
      </c>
      <c r="F18" s="14" t="n">
        <v>46245.6659722222</v>
      </c>
      <c r="G18" s="8" t="n">
        <v>1</v>
      </c>
      <c r="H18" s="9" t="n">
        <v>7.83</v>
      </c>
      <c r="I18" s="9" t="n">
        <v>1.25</v>
      </c>
      <c r="J18" s="9" t="n">
        <v>6.58</v>
      </c>
      <c r="K18" s="8" t="n">
        <v>45</v>
      </c>
      <c r="L18" s="9" t="n">
        <v>7.25</v>
      </c>
      <c r="M18" s="15" t="n">
        <v>30</v>
      </c>
      <c r="N18" s="9" t="n">
        <v>0</v>
      </c>
      <c r="O18" s="9" t="n">
        <v>0.67</v>
      </c>
    </row>
    <row r="19" customFormat="false" ht="15" hidden="false" customHeight="false" outlineLevel="0" collapsed="false">
      <c r="A19" s="13" t="n">
        <v>46246</v>
      </c>
      <c r="B19" s="7" t="s">
        <v>23</v>
      </c>
      <c r="C19" s="7" t="s">
        <v>24</v>
      </c>
      <c r="D19" s="7" t="s">
        <v>25</v>
      </c>
      <c r="E19" s="14" t="n">
        <v>46246.3375</v>
      </c>
      <c r="F19" s="14" t="n">
        <v>46246.6666666667</v>
      </c>
      <c r="G19" s="8" t="n">
        <v>1</v>
      </c>
      <c r="H19" s="9" t="n">
        <v>7.9</v>
      </c>
      <c r="I19" s="9" t="n">
        <v>1</v>
      </c>
      <c r="J19" s="9" t="n">
        <v>6.9</v>
      </c>
      <c r="K19" s="8" t="n">
        <v>45</v>
      </c>
      <c r="L19" s="9" t="n">
        <v>7.25</v>
      </c>
      <c r="M19" s="15" t="n">
        <v>15</v>
      </c>
      <c r="N19" s="9" t="n">
        <v>0</v>
      </c>
      <c r="O19" s="9" t="n">
        <v>0.35</v>
      </c>
    </row>
    <row r="20" customFormat="false" ht="15" hidden="false" customHeight="false" outlineLevel="0" collapsed="false">
      <c r="A20" s="13" t="n">
        <v>46247</v>
      </c>
      <c r="B20" s="7" t="s">
        <v>23</v>
      </c>
      <c r="C20" s="7" t="s">
        <v>24</v>
      </c>
      <c r="D20" s="7" t="s">
        <v>25</v>
      </c>
      <c r="E20" s="14" t="n">
        <v>46247.3402777778</v>
      </c>
      <c r="F20" s="14" t="n">
        <v>46247.6763888889</v>
      </c>
      <c r="G20" s="8" t="n">
        <v>1</v>
      </c>
      <c r="H20" s="9" t="n">
        <v>8.07</v>
      </c>
      <c r="I20" s="9" t="n">
        <v>0.5</v>
      </c>
      <c r="J20" s="9" t="n">
        <v>7.57</v>
      </c>
      <c r="K20" s="8" t="n">
        <v>45</v>
      </c>
      <c r="L20" s="9" t="n">
        <v>7.25</v>
      </c>
      <c r="M20" s="8" t="n">
        <v>0</v>
      </c>
      <c r="N20" s="9" t="n">
        <v>0.32</v>
      </c>
      <c r="O20" s="9" t="n">
        <v>0</v>
      </c>
    </row>
    <row r="21" customFormat="false" ht="15" hidden="false" customHeight="false" outlineLevel="0" collapsed="false">
      <c r="A21" s="13" t="n">
        <v>46248</v>
      </c>
      <c r="B21" s="7" t="s">
        <v>23</v>
      </c>
      <c r="C21" s="7" t="s">
        <v>24</v>
      </c>
      <c r="D21" s="7" t="s">
        <v>25</v>
      </c>
      <c r="E21" s="14" t="n">
        <v>46248.3402777778</v>
      </c>
      <c r="F21" s="14" t="n">
        <v>46248.6986111111</v>
      </c>
      <c r="G21" s="8" t="n">
        <v>1</v>
      </c>
      <c r="H21" s="9" t="n">
        <v>8.6</v>
      </c>
      <c r="I21" s="9" t="n">
        <v>0.75</v>
      </c>
      <c r="J21" s="9" t="n">
        <v>7.85</v>
      </c>
      <c r="K21" s="8" t="n">
        <v>45</v>
      </c>
      <c r="L21" s="9" t="n">
        <v>7.25</v>
      </c>
      <c r="M21" s="8" t="n">
        <v>0</v>
      </c>
      <c r="N21" s="9" t="n">
        <v>0.6</v>
      </c>
      <c r="O21" s="9" t="n">
        <v>0</v>
      </c>
    </row>
    <row r="22" customFormat="false" ht="15" hidden="false" customHeight="false" outlineLevel="0" collapsed="false">
      <c r="A22" s="13" t="n">
        <v>46237</v>
      </c>
      <c r="B22" s="7" t="s">
        <v>26</v>
      </c>
      <c r="C22" s="7" t="s">
        <v>27</v>
      </c>
      <c r="D22" s="7" t="s">
        <v>28</v>
      </c>
      <c r="E22" s="14" t="n">
        <v>46237.3368055556</v>
      </c>
      <c r="F22" s="14" t="n">
        <v>46237.5847222222</v>
      </c>
      <c r="G22" s="8" t="n">
        <v>1</v>
      </c>
      <c r="H22" s="9" t="n">
        <v>5.95</v>
      </c>
      <c r="I22" s="9" t="n">
        <v>1</v>
      </c>
      <c r="J22" s="9" t="n">
        <v>4.95</v>
      </c>
      <c r="K22" s="8" t="n">
        <v>30</v>
      </c>
      <c r="L22" s="9" t="n">
        <v>5.5</v>
      </c>
      <c r="M22" s="15" t="n">
        <v>30</v>
      </c>
      <c r="N22" s="9" t="n">
        <v>0</v>
      </c>
      <c r="O22" s="9" t="n">
        <v>0.55</v>
      </c>
    </row>
    <row r="23" customFormat="false" ht="15" hidden="false" customHeight="false" outlineLevel="0" collapsed="false">
      <c r="A23" s="13" t="n">
        <v>46238</v>
      </c>
      <c r="B23" s="7" t="s">
        <v>26</v>
      </c>
      <c r="C23" s="7" t="s">
        <v>27</v>
      </c>
      <c r="D23" s="7" t="s">
        <v>28</v>
      </c>
      <c r="E23" s="14" t="n">
        <v>46238.3375</v>
      </c>
      <c r="F23" s="14" t="n">
        <v>46238.59375</v>
      </c>
      <c r="G23" s="8" t="n">
        <v>1</v>
      </c>
      <c r="H23" s="9" t="n">
        <v>6.15</v>
      </c>
      <c r="I23" s="9" t="n">
        <v>0.75</v>
      </c>
      <c r="J23" s="9" t="n">
        <v>5.4</v>
      </c>
      <c r="K23" s="8" t="n">
        <v>30</v>
      </c>
      <c r="L23" s="9" t="n">
        <v>5.5</v>
      </c>
      <c r="M23" s="15" t="n">
        <v>15</v>
      </c>
      <c r="N23" s="9" t="n">
        <v>0</v>
      </c>
      <c r="O23" s="9" t="n">
        <v>0.1</v>
      </c>
    </row>
    <row r="24" customFormat="false" ht="15" hidden="false" customHeight="false" outlineLevel="0" collapsed="false">
      <c r="A24" s="13" t="n">
        <v>46239</v>
      </c>
      <c r="B24" s="7" t="s">
        <v>26</v>
      </c>
      <c r="C24" s="7" t="s">
        <v>27</v>
      </c>
      <c r="D24" s="7" t="s">
        <v>28</v>
      </c>
      <c r="E24" s="14" t="n">
        <v>46239.3395833333</v>
      </c>
      <c r="F24" s="14" t="n">
        <v>46239.5972222222</v>
      </c>
      <c r="G24" s="8" t="n">
        <v>1</v>
      </c>
      <c r="H24" s="9" t="n">
        <v>6.18</v>
      </c>
      <c r="I24" s="9" t="n">
        <v>1</v>
      </c>
      <c r="J24" s="9" t="n">
        <v>5.18</v>
      </c>
      <c r="K24" s="8" t="n">
        <v>30</v>
      </c>
      <c r="L24" s="9" t="n">
        <v>5.5</v>
      </c>
      <c r="M24" s="15" t="n">
        <v>30</v>
      </c>
      <c r="N24" s="9" t="n">
        <v>0</v>
      </c>
      <c r="O24" s="9" t="n">
        <v>0.32</v>
      </c>
    </row>
    <row r="25" customFormat="false" ht="15" hidden="false" customHeight="false" outlineLevel="0" collapsed="false">
      <c r="A25" s="13" t="n">
        <v>46240</v>
      </c>
      <c r="B25" s="7" t="s">
        <v>26</v>
      </c>
      <c r="C25" s="7" t="s">
        <v>27</v>
      </c>
      <c r="D25" s="7" t="s">
        <v>28</v>
      </c>
      <c r="E25" s="14" t="n">
        <v>46240.3368055556</v>
      </c>
      <c r="F25" s="14" t="n">
        <v>46240.5875</v>
      </c>
      <c r="G25" s="8" t="n">
        <v>1</v>
      </c>
      <c r="H25" s="9" t="n">
        <v>6.02</v>
      </c>
      <c r="I25" s="9" t="n">
        <v>0.75</v>
      </c>
      <c r="J25" s="9" t="n">
        <v>5.27</v>
      </c>
      <c r="K25" s="8" t="n">
        <v>30</v>
      </c>
      <c r="L25" s="9" t="n">
        <v>5.5</v>
      </c>
      <c r="M25" s="15" t="n">
        <v>15</v>
      </c>
      <c r="N25" s="9" t="n">
        <v>0</v>
      </c>
      <c r="O25" s="9" t="n">
        <v>0.23</v>
      </c>
    </row>
    <row r="26" customFormat="false" ht="15" hidden="false" customHeight="false" outlineLevel="0" collapsed="false">
      <c r="A26" s="13" t="n">
        <v>46241</v>
      </c>
      <c r="B26" s="7" t="s">
        <v>26</v>
      </c>
      <c r="C26" s="7" t="s">
        <v>27</v>
      </c>
      <c r="D26" s="7" t="s">
        <v>28</v>
      </c>
      <c r="E26" s="14" t="n">
        <v>46241.3347222222</v>
      </c>
      <c r="F26" s="14" t="n">
        <v>46241.6104166667</v>
      </c>
      <c r="G26" s="8" t="n">
        <v>1</v>
      </c>
      <c r="H26" s="9" t="n">
        <v>6.62</v>
      </c>
      <c r="I26" s="9" t="n">
        <v>1</v>
      </c>
      <c r="J26" s="9" t="n">
        <v>5.62</v>
      </c>
      <c r="K26" s="8" t="n">
        <v>30</v>
      </c>
      <c r="L26" s="9" t="n">
        <v>5.5</v>
      </c>
      <c r="M26" s="15" t="n">
        <v>30</v>
      </c>
      <c r="N26" s="9" t="n">
        <v>0.12</v>
      </c>
      <c r="O26" s="9" t="n">
        <v>0</v>
      </c>
    </row>
    <row r="27" customFormat="false" ht="15" hidden="false" customHeight="false" outlineLevel="0" collapsed="false">
      <c r="A27" s="13" t="n">
        <v>46245</v>
      </c>
      <c r="B27" s="7" t="s">
        <v>26</v>
      </c>
      <c r="C27" s="7" t="s">
        <v>27</v>
      </c>
      <c r="D27" s="7" t="s">
        <v>28</v>
      </c>
      <c r="E27" s="14" t="n">
        <v>46245.3395833333</v>
      </c>
      <c r="F27" s="14" t="n">
        <v>46245.6</v>
      </c>
      <c r="G27" s="8" t="n">
        <v>1</v>
      </c>
      <c r="H27" s="9" t="n">
        <v>6.25</v>
      </c>
      <c r="I27" s="9" t="n">
        <v>1</v>
      </c>
      <c r="J27" s="9" t="n">
        <v>5.25</v>
      </c>
      <c r="K27" s="8" t="n">
        <v>30</v>
      </c>
      <c r="L27" s="9" t="n">
        <v>5.5</v>
      </c>
      <c r="M27" s="15" t="n">
        <v>30</v>
      </c>
      <c r="N27" s="9" t="n">
        <v>0</v>
      </c>
      <c r="O27" s="9" t="n">
        <v>0.25</v>
      </c>
    </row>
    <row r="28" customFormat="false" ht="15" hidden="false" customHeight="false" outlineLevel="0" collapsed="false">
      <c r="A28" s="13" t="n">
        <v>46246</v>
      </c>
      <c r="B28" s="7" t="s">
        <v>26</v>
      </c>
      <c r="C28" s="7" t="s">
        <v>27</v>
      </c>
      <c r="D28" s="7" t="s">
        <v>28</v>
      </c>
      <c r="E28" s="14" t="n">
        <v>46246.3402777778</v>
      </c>
      <c r="F28" s="14" t="n">
        <v>46246.6006944445</v>
      </c>
      <c r="G28" s="8" t="n">
        <v>1</v>
      </c>
      <c r="H28" s="9" t="n">
        <v>6.25</v>
      </c>
      <c r="I28" s="9" t="n">
        <v>1.25</v>
      </c>
      <c r="J28" s="9" t="n">
        <v>5</v>
      </c>
      <c r="K28" s="8" t="n">
        <v>30</v>
      </c>
      <c r="L28" s="9" t="n">
        <v>5.5</v>
      </c>
      <c r="M28" s="15" t="n">
        <v>45</v>
      </c>
      <c r="N28" s="9" t="n">
        <v>0</v>
      </c>
      <c r="O28" s="9" t="n">
        <v>0.5</v>
      </c>
    </row>
    <row r="29" customFormat="false" ht="15" hidden="false" customHeight="false" outlineLevel="0" collapsed="false">
      <c r="A29" s="13" t="n">
        <v>46247</v>
      </c>
      <c r="B29" s="7" t="s">
        <v>26</v>
      </c>
      <c r="C29" s="7" t="s">
        <v>27</v>
      </c>
      <c r="D29" s="7" t="s">
        <v>28</v>
      </c>
      <c r="E29" s="14" t="n">
        <v>46247.3368055556</v>
      </c>
      <c r="F29" s="14" t="n">
        <v>46247.5770833333</v>
      </c>
      <c r="G29" s="8" t="n">
        <v>1</v>
      </c>
      <c r="H29" s="9" t="n">
        <v>5.77</v>
      </c>
      <c r="I29" s="9" t="n">
        <v>1</v>
      </c>
      <c r="J29" s="9" t="n">
        <v>4.77</v>
      </c>
      <c r="K29" s="8" t="n">
        <v>30</v>
      </c>
      <c r="L29" s="9" t="n">
        <v>5.5</v>
      </c>
      <c r="M29" s="15" t="n">
        <v>30</v>
      </c>
      <c r="N29" s="9" t="n">
        <v>0</v>
      </c>
      <c r="O29" s="9" t="n">
        <v>0.73</v>
      </c>
    </row>
    <row r="30" customFormat="false" ht="15" hidden="false" customHeight="false" outlineLevel="0" collapsed="false">
      <c r="A30" s="13" t="n">
        <v>46248</v>
      </c>
      <c r="B30" s="7" t="s">
        <v>26</v>
      </c>
      <c r="C30" s="7" t="s">
        <v>27</v>
      </c>
      <c r="D30" s="7" t="s">
        <v>28</v>
      </c>
      <c r="E30" s="14" t="n">
        <v>46248.3409722222</v>
      </c>
      <c r="F30" s="14" t="n">
        <v>46248.58125</v>
      </c>
      <c r="G30" s="8" t="n">
        <v>1</v>
      </c>
      <c r="H30" s="9" t="n">
        <v>5.77</v>
      </c>
      <c r="I30" s="9" t="n">
        <v>1.25</v>
      </c>
      <c r="J30" s="9" t="n">
        <v>4.52</v>
      </c>
      <c r="K30" s="8" t="n">
        <v>30</v>
      </c>
      <c r="L30" s="9" t="n">
        <v>5.5</v>
      </c>
      <c r="M30" s="15" t="n">
        <v>45</v>
      </c>
      <c r="N30" s="9" t="n">
        <v>0</v>
      </c>
      <c r="O30" s="9" t="n">
        <v>0.98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29.85" hidden="false" customHeight="false" outlineLevel="0" collapsed="false">
      <c r="A1" s="6" t="s">
        <v>32</v>
      </c>
      <c r="B1" s="6" t="s">
        <v>12</v>
      </c>
      <c r="C1" s="6" t="s">
        <v>14</v>
      </c>
      <c r="D1" s="6" t="s">
        <v>38</v>
      </c>
      <c r="E1" s="6" t="s">
        <v>39</v>
      </c>
      <c r="F1" s="6" t="s">
        <v>16</v>
      </c>
      <c r="G1" s="6" t="s">
        <v>17</v>
      </c>
      <c r="H1" s="6" t="s">
        <v>18</v>
      </c>
      <c r="I1" s="6" t="s">
        <v>40</v>
      </c>
    </row>
    <row r="2" customFormat="false" ht="15" hidden="false" customHeight="false" outlineLevel="0" collapsed="false">
      <c r="A2" s="13" t="n">
        <v>46237</v>
      </c>
      <c r="B2" s="7" t="s">
        <v>23</v>
      </c>
      <c r="C2" s="7" t="s">
        <v>25</v>
      </c>
      <c r="D2" s="14" t="n">
        <v>46237.3423611111</v>
      </c>
      <c r="E2" s="14" t="n">
        <v>46237.6909722222</v>
      </c>
      <c r="F2" s="9" t="n">
        <v>8.37</v>
      </c>
      <c r="G2" s="9" t="n">
        <v>1.25</v>
      </c>
      <c r="H2" s="9" t="n">
        <v>7.12</v>
      </c>
      <c r="I2" s="8" t="n">
        <v>1</v>
      </c>
    </row>
    <row r="3" customFormat="false" ht="15" hidden="false" customHeight="false" outlineLevel="0" collapsed="false">
      <c r="A3" s="13" t="n">
        <v>46238</v>
      </c>
      <c r="B3" s="7" t="s">
        <v>23</v>
      </c>
      <c r="C3" s="7" t="s">
        <v>25</v>
      </c>
      <c r="D3" s="14" t="n">
        <v>46238.3333333333</v>
      </c>
      <c r="E3" s="14" t="n">
        <v>46238.6875</v>
      </c>
      <c r="F3" s="9" t="n">
        <v>8.5</v>
      </c>
      <c r="G3" s="9" t="n">
        <v>0.5</v>
      </c>
      <c r="H3" s="9" t="n">
        <v>8</v>
      </c>
      <c r="I3" s="8" t="n">
        <v>1</v>
      </c>
    </row>
    <row r="4" customFormat="false" ht="15" hidden="false" customHeight="false" outlineLevel="0" collapsed="false">
      <c r="A4" s="13" t="n">
        <v>46239</v>
      </c>
      <c r="B4" s="7" t="s">
        <v>23</v>
      </c>
      <c r="C4" s="7" t="s">
        <v>25</v>
      </c>
      <c r="D4" s="14" t="n">
        <v>46239.3368055556</v>
      </c>
      <c r="E4" s="14" t="n">
        <v>46239.6645833333</v>
      </c>
      <c r="F4" s="9" t="n">
        <v>7.87</v>
      </c>
      <c r="G4" s="9" t="n">
        <v>0.75</v>
      </c>
      <c r="H4" s="9" t="n">
        <v>7.12</v>
      </c>
      <c r="I4" s="8" t="n">
        <v>1</v>
      </c>
    </row>
    <row r="5" customFormat="false" ht="15" hidden="false" customHeight="false" outlineLevel="0" collapsed="false">
      <c r="A5" s="13" t="n">
        <v>46240</v>
      </c>
      <c r="B5" s="7" t="s">
        <v>23</v>
      </c>
      <c r="C5" s="7" t="s">
        <v>25</v>
      </c>
      <c r="D5" s="14" t="n">
        <v>46240.3381944444</v>
      </c>
      <c r="E5" s="14" t="n">
        <v>46240.6763888889</v>
      </c>
      <c r="F5" s="9" t="n">
        <v>8.12</v>
      </c>
      <c r="G5" s="9" t="n">
        <v>1.25</v>
      </c>
      <c r="H5" s="9" t="n">
        <v>6.87</v>
      </c>
      <c r="I5" s="8" t="n">
        <v>1</v>
      </c>
    </row>
    <row r="6" customFormat="false" ht="15" hidden="false" customHeight="false" outlineLevel="0" collapsed="false">
      <c r="A6" s="13" t="n">
        <v>46241</v>
      </c>
      <c r="B6" s="7" t="s">
        <v>23</v>
      </c>
      <c r="C6" s="7" t="s">
        <v>25</v>
      </c>
      <c r="D6" s="14" t="n">
        <v>46241.3409722222</v>
      </c>
      <c r="E6" s="14" t="n">
        <v>46241.6979166667</v>
      </c>
      <c r="F6" s="9" t="n">
        <v>8.57</v>
      </c>
      <c r="G6" s="9" t="n">
        <v>1</v>
      </c>
      <c r="H6" s="9" t="n">
        <v>7.57</v>
      </c>
      <c r="I6" s="8" t="n">
        <v>1</v>
      </c>
    </row>
    <row r="7" customFormat="false" ht="15" hidden="false" customHeight="false" outlineLevel="0" collapsed="false">
      <c r="A7" s="13" t="n">
        <v>46244</v>
      </c>
      <c r="B7" s="7" t="s">
        <v>23</v>
      </c>
      <c r="C7" s="7" t="s">
        <v>25</v>
      </c>
      <c r="D7" s="14" t="n">
        <v>46244.3430555556</v>
      </c>
      <c r="E7" s="14" t="n">
        <v>46244.7041666667</v>
      </c>
      <c r="F7" s="9" t="n">
        <v>8.67</v>
      </c>
      <c r="G7" s="9" t="n">
        <v>1</v>
      </c>
      <c r="H7" s="9" t="n">
        <v>7.67</v>
      </c>
      <c r="I7" s="8" t="n">
        <v>1</v>
      </c>
    </row>
    <row r="8" customFormat="false" ht="15" hidden="false" customHeight="false" outlineLevel="0" collapsed="false">
      <c r="A8" s="13" t="n">
        <v>46245</v>
      </c>
      <c r="B8" s="7" t="s">
        <v>23</v>
      </c>
      <c r="C8" s="7" t="s">
        <v>25</v>
      </c>
      <c r="D8" s="14" t="n">
        <v>46245.3395833333</v>
      </c>
      <c r="E8" s="14" t="n">
        <v>46245.6659722222</v>
      </c>
      <c r="F8" s="9" t="n">
        <v>7.83</v>
      </c>
      <c r="G8" s="9" t="n">
        <v>1.25</v>
      </c>
      <c r="H8" s="9" t="n">
        <v>6.58</v>
      </c>
      <c r="I8" s="8" t="n">
        <v>1</v>
      </c>
    </row>
    <row r="9" customFormat="false" ht="15" hidden="false" customHeight="false" outlineLevel="0" collapsed="false">
      <c r="A9" s="13" t="n">
        <v>46246</v>
      </c>
      <c r="B9" s="7" t="s">
        <v>23</v>
      </c>
      <c r="C9" s="7" t="s">
        <v>25</v>
      </c>
      <c r="D9" s="14" t="n">
        <v>46246.3375</v>
      </c>
      <c r="E9" s="14" t="n">
        <v>46246.6666666667</v>
      </c>
      <c r="F9" s="9" t="n">
        <v>7.9</v>
      </c>
      <c r="G9" s="9" t="n">
        <v>1</v>
      </c>
      <c r="H9" s="9" t="n">
        <v>6.9</v>
      </c>
      <c r="I9" s="8" t="n">
        <v>1</v>
      </c>
    </row>
    <row r="10" customFormat="false" ht="15" hidden="false" customHeight="false" outlineLevel="0" collapsed="false">
      <c r="A10" s="13" t="n">
        <v>46247</v>
      </c>
      <c r="B10" s="7" t="s">
        <v>23</v>
      </c>
      <c r="C10" s="7" t="s">
        <v>25</v>
      </c>
      <c r="D10" s="14" t="n">
        <v>46247.3402777778</v>
      </c>
      <c r="E10" s="14" t="n">
        <v>46247.6763888889</v>
      </c>
      <c r="F10" s="9" t="n">
        <v>8.07</v>
      </c>
      <c r="G10" s="9" t="n">
        <v>0.5</v>
      </c>
      <c r="H10" s="9" t="n">
        <v>7.57</v>
      </c>
      <c r="I10" s="8" t="n">
        <v>1</v>
      </c>
    </row>
    <row r="11" customFormat="false" ht="15" hidden="false" customHeight="false" outlineLevel="0" collapsed="false">
      <c r="A11" s="13" t="n">
        <v>46248</v>
      </c>
      <c r="B11" s="7" t="s">
        <v>23</v>
      </c>
      <c r="C11" s="7" t="s">
        <v>25</v>
      </c>
      <c r="D11" s="14" t="n">
        <v>46248.3402777778</v>
      </c>
      <c r="E11" s="14" t="n">
        <v>46248.6986111111</v>
      </c>
      <c r="F11" s="9" t="n">
        <v>8.6</v>
      </c>
      <c r="G11" s="9" t="n">
        <v>0.75</v>
      </c>
      <c r="H11" s="9" t="n">
        <v>7.85</v>
      </c>
      <c r="I11" s="8" t="n">
        <v>1</v>
      </c>
    </row>
    <row r="12" customFormat="false" ht="15" hidden="false" customHeight="false" outlineLevel="0" collapsed="false">
      <c r="A12" s="13" t="n">
        <v>46237</v>
      </c>
      <c r="B12" s="7" t="s">
        <v>26</v>
      </c>
      <c r="C12" s="7" t="s">
        <v>28</v>
      </c>
      <c r="D12" s="14" t="n">
        <v>46237.3368055556</v>
      </c>
      <c r="E12" s="14" t="n">
        <v>46237.5847222222</v>
      </c>
      <c r="F12" s="9" t="n">
        <v>5.95</v>
      </c>
      <c r="G12" s="9" t="n">
        <v>1</v>
      </c>
      <c r="H12" s="9" t="n">
        <v>4.95</v>
      </c>
      <c r="I12" s="8" t="n">
        <v>1</v>
      </c>
    </row>
    <row r="13" customFormat="false" ht="15" hidden="false" customHeight="false" outlineLevel="0" collapsed="false">
      <c r="A13" s="13" t="n">
        <v>46238</v>
      </c>
      <c r="B13" s="7" t="s">
        <v>26</v>
      </c>
      <c r="C13" s="7" t="s">
        <v>28</v>
      </c>
      <c r="D13" s="14" t="n">
        <v>46238.3375</v>
      </c>
      <c r="E13" s="14" t="n">
        <v>46238.59375</v>
      </c>
      <c r="F13" s="9" t="n">
        <v>6.15</v>
      </c>
      <c r="G13" s="9" t="n">
        <v>0.75</v>
      </c>
      <c r="H13" s="9" t="n">
        <v>5.4</v>
      </c>
      <c r="I13" s="8" t="n">
        <v>1</v>
      </c>
    </row>
    <row r="14" customFormat="false" ht="15" hidden="false" customHeight="false" outlineLevel="0" collapsed="false">
      <c r="A14" s="13" t="n">
        <v>46239</v>
      </c>
      <c r="B14" s="7" t="s">
        <v>26</v>
      </c>
      <c r="C14" s="7" t="s">
        <v>28</v>
      </c>
      <c r="D14" s="14" t="n">
        <v>46239.3395833333</v>
      </c>
      <c r="E14" s="14" t="n">
        <v>46239.5972222222</v>
      </c>
      <c r="F14" s="9" t="n">
        <v>6.18</v>
      </c>
      <c r="G14" s="9" t="n">
        <v>1</v>
      </c>
      <c r="H14" s="9" t="n">
        <v>5.18</v>
      </c>
      <c r="I14" s="8" t="n">
        <v>1</v>
      </c>
    </row>
    <row r="15" customFormat="false" ht="15" hidden="false" customHeight="false" outlineLevel="0" collapsed="false">
      <c r="A15" s="13" t="n">
        <v>46240</v>
      </c>
      <c r="B15" s="7" t="s">
        <v>26</v>
      </c>
      <c r="C15" s="7" t="s">
        <v>28</v>
      </c>
      <c r="D15" s="14" t="n">
        <v>46240.3368055556</v>
      </c>
      <c r="E15" s="14" t="n">
        <v>46240.5875</v>
      </c>
      <c r="F15" s="9" t="n">
        <v>6.02</v>
      </c>
      <c r="G15" s="9" t="n">
        <v>0.75</v>
      </c>
      <c r="H15" s="9" t="n">
        <v>5.27</v>
      </c>
      <c r="I15" s="8" t="n">
        <v>1</v>
      </c>
    </row>
    <row r="16" customFormat="false" ht="15" hidden="false" customHeight="false" outlineLevel="0" collapsed="false">
      <c r="A16" s="13" t="n">
        <v>46241</v>
      </c>
      <c r="B16" s="7" t="s">
        <v>26</v>
      </c>
      <c r="C16" s="7" t="s">
        <v>28</v>
      </c>
      <c r="D16" s="14" t="n">
        <v>46241.3347222222</v>
      </c>
      <c r="E16" s="14" t="n">
        <v>46241.6104166667</v>
      </c>
      <c r="F16" s="9" t="n">
        <v>6.62</v>
      </c>
      <c r="G16" s="9" t="n">
        <v>1</v>
      </c>
      <c r="H16" s="9" t="n">
        <v>5.62</v>
      </c>
      <c r="I16" s="8" t="n">
        <v>1</v>
      </c>
    </row>
    <row r="17" customFormat="false" ht="15" hidden="false" customHeight="false" outlineLevel="0" collapsed="false">
      <c r="A17" s="13" t="n">
        <v>46245</v>
      </c>
      <c r="B17" s="7" t="s">
        <v>26</v>
      </c>
      <c r="C17" s="7" t="s">
        <v>28</v>
      </c>
      <c r="D17" s="14" t="n">
        <v>46245.3395833333</v>
      </c>
      <c r="E17" s="14" t="n">
        <v>46245.6</v>
      </c>
      <c r="F17" s="9" t="n">
        <v>6.25</v>
      </c>
      <c r="G17" s="9" t="n">
        <v>1</v>
      </c>
      <c r="H17" s="9" t="n">
        <v>5.25</v>
      </c>
      <c r="I17" s="8" t="n">
        <v>1</v>
      </c>
    </row>
    <row r="18" customFormat="false" ht="15" hidden="false" customHeight="false" outlineLevel="0" collapsed="false">
      <c r="A18" s="13" t="n">
        <v>46246</v>
      </c>
      <c r="B18" s="7" t="s">
        <v>26</v>
      </c>
      <c r="C18" s="7" t="s">
        <v>28</v>
      </c>
      <c r="D18" s="14" t="n">
        <v>46246.3402777778</v>
      </c>
      <c r="E18" s="14" t="n">
        <v>46246.6006944445</v>
      </c>
      <c r="F18" s="9" t="n">
        <v>6.25</v>
      </c>
      <c r="G18" s="9" t="n">
        <v>1.25</v>
      </c>
      <c r="H18" s="9" t="n">
        <v>5</v>
      </c>
      <c r="I18" s="8" t="n">
        <v>1</v>
      </c>
    </row>
    <row r="19" customFormat="false" ht="15" hidden="false" customHeight="false" outlineLevel="0" collapsed="false">
      <c r="A19" s="13" t="n">
        <v>46247</v>
      </c>
      <c r="B19" s="7" t="s">
        <v>26</v>
      </c>
      <c r="C19" s="7" t="s">
        <v>28</v>
      </c>
      <c r="D19" s="14" t="n">
        <v>46247.3368055556</v>
      </c>
      <c r="E19" s="14" t="n">
        <v>46247.5770833333</v>
      </c>
      <c r="F19" s="9" t="n">
        <v>5.77</v>
      </c>
      <c r="G19" s="9" t="n">
        <v>1</v>
      </c>
      <c r="H19" s="9" t="n">
        <v>4.77</v>
      </c>
      <c r="I19" s="8" t="n">
        <v>1</v>
      </c>
    </row>
    <row r="20" customFormat="false" ht="15" hidden="false" customHeight="false" outlineLevel="0" collapsed="false">
      <c r="A20" s="13" t="n">
        <v>46248</v>
      </c>
      <c r="B20" s="7" t="s">
        <v>26</v>
      </c>
      <c r="C20" s="7" t="s">
        <v>28</v>
      </c>
      <c r="D20" s="14" t="n">
        <v>46248.3409722222</v>
      </c>
      <c r="E20" s="14" t="n">
        <v>46248.58125</v>
      </c>
      <c r="F20" s="9" t="n">
        <v>5.77</v>
      </c>
      <c r="G20" s="9" t="n">
        <v>1.25</v>
      </c>
      <c r="H20" s="9" t="n">
        <v>4.52</v>
      </c>
      <c r="I20" s="8" t="n">
        <v>1</v>
      </c>
    </row>
    <row r="21" customFormat="false" ht="15" hidden="false" customHeight="false" outlineLevel="0" collapsed="false">
      <c r="A21" s="13" t="n">
        <v>46237</v>
      </c>
      <c r="B21" s="7" t="s">
        <v>29</v>
      </c>
      <c r="C21" s="7" t="s">
        <v>30</v>
      </c>
      <c r="D21" s="14" t="n">
        <v>46237.3388888889</v>
      </c>
      <c r="E21" s="14" t="n">
        <v>46237.6965277778</v>
      </c>
      <c r="F21" s="9" t="n">
        <v>8.58</v>
      </c>
      <c r="G21" s="9" t="n">
        <v>1</v>
      </c>
      <c r="H21" s="9" t="n">
        <v>7.58</v>
      </c>
      <c r="I21" s="8" t="n">
        <v>1</v>
      </c>
    </row>
    <row r="22" customFormat="false" ht="15" hidden="false" customHeight="false" outlineLevel="0" collapsed="false">
      <c r="A22" s="13" t="n">
        <v>46238</v>
      </c>
      <c r="B22" s="7" t="s">
        <v>29</v>
      </c>
      <c r="C22" s="7" t="s">
        <v>30</v>
      </c>
      <c r="D22" s="14" t="n">
        <v>46238.3333333333</v>
      </c>
      <c r="E22" s="14" t="n">
        <v>46238.6902777778</v>
      </c>
      <c r="F22" s="9" t="n">
        <v>8.57</v>
      </c>
      <c r="G22" s="9" t="n">
        <v>1.25</v>
      </c>
      <c r="H22" s="9" t="n">
        <v>7.32</v>
      </c>
      <c r="I22" s="8" t="n">
        <v>1</v>
      </c>
    </row>
    <row r="23" customFormat="false" ht="15" hidden="false" customHeight="false" outlineLevel="0" collapsed="false">
      <c r="A23" s="13" t="n">
        <v>46239</v>
      </c>
      <c r="B23" s="7" t="s">
        <v>29</v>
      </c>
      <c r="C23" s="7" t="s">
        <v>30</v>
      </c>
      <c r="D23" s="14" t="n">
        <v>46239.3381944444</v>
      </c>
      <c r="E23" s="14" t="n">
        <v>46239.6680555556</v>
      </c>
      <c r="F23" s="9" t="n">
        <v>7.92</v>
      </c>
      <c r="G23" s="9" t="n">
        <v>0.5</v>
      </c>
      <c r="H23" s="9" t="n">
        <v>7.42</v>
      </c>
      <c r="I23" s="8" t="n">
        <v>1</v>
      </c>
    </row>
    <row r="24" customFormat="false" ht="15" hidden="false" customHeight="false" outlineLevel="0" collapsed="false">
      <c r="A24" s="13" t="n">
        <v>46240</v>
      </c>
      <c r="B24" s="7" t="s">
        <v>29</v>
      </c>
      <c r="C24" s="7" t="s">
        <v>30</v>
      </c>
      <c r="D24" s="14" t="n">
        <v>46240.3354166667</v>
      </c>
      <c r="E24" s="14" t="n">
        <v>46240.6965277778</v>
      </c>
      <c r="F24" s="9" t="n">
        <v>8.67</v>
      </c>
      <c r="G24" s="9" t="n">
        <v>1.25</v>
      </c>
      <c r="H24" s="9" t="n">
        <v>7.42</v>
      </c>
      <c r="I24" s="8" t="n">
        <v>1</v>
      </c>
    </row>
    <row r="25" customFormat="false" ht="15" hidden="false" customHeight="false" outlineLevel="0" collapsed="false">
      <c r="A25" s="13" t="n">
        <v>46241</v>
      </c>
      <c r="B25" s="7" t="s">
        <v>29</v>
      </c>
      <c r="C25" s="7" t="s">
        <v>30</v>
      </c>
      <c r="D25" s="14" t="n">
        <v>46241.3381944444</v>
      </c>
      <c r="E25" s="14" t="n">
        <v>46241.6861111111</v>
      </c>
      <c r="F25" s="9" t="n">
        <v>8.35</v>
      </c>
      <c r="G25" s="9" t="n">
        <v>0.5</v>
      </c>
      <c r="H25" s="9" t="n">
        <v>7.85</v>
      </c>
      <c r="I25" s="8" t="n">
        <v>1</v>
      </c>
    </row>
    <row r="26" customFormat="false" ht="15" hidden="false" customHeight="false" outlineLevel="0" collapsed="false">
      <c r="A26" s="13" t="n">
        <v>46244</v>
      </c>
      <c r="B26" s="7" t="s">
        <v>29</v>
      </c>
      <c r="C26" s="7" t="s">
        <v>30</v>
      </c>
      <c r="D26" s="14" t="n">
        <v>46244.3381944444</v>
      </c>
      <c r="E26" s="14" t="n">
        <v>46244.6791666667</v>
      </c>
      <c r="F26" s="9" t="n">
        <v>8.18</v>
      </c>
      <c r="G26" s="9" t="n">
        <v>0.75</v>
      </c>
      <c r="H26" s="9" t="n">
        <v>7.43</v>
      </c>
      <c r="I26" s="8" t="n">
        <v>1</v>
      </c>
    </row>
    <row r="27" customFormat="false" ht="15" hidden="false" customHeight="false" outlineLevel="0" collapsed="false">
      <c r="A27" s="13" t="n">
        <v>46245</v>
      </c>
      <c r="B27" s="7" t="s">
        <v>29</v>
      </c>
      <c r="C27" s="7" t="s">
        <v>30</v>
      </c>
      <c r="D27" s="14" t="n">
        <v>46245.3388888889</v>
      </c>
      <c r="E27" s="14" t="n">
        <v>46245.66875</v>
      </c>
      <c r="F27" s="9" t="n">
        <v>7.92</v>
      </c>
      <c r="G27" s="9" t="n">
        <v>1.25</v>
      </c>
      <c r="H27" s="9" t="n">
        <v>6.67</v>
      </c>
      <c r="I27" s="8" t="n">
        <v>1</v>
      </c>
    </row>
    <row r="28" customFormat="false" ht="15" hidden="false" customHeight="false" outlineLevel="0" collapsed="false">
      <c r="A28" s="13" t="n">
        <v>46246</v>
      </c>
      <c r="B28" s="7" t="s">
        <v>29</v>
      </c>
      <c r="C28" s="7" t="s">
        <v>30</v>
      </c>
      <c r="D28" s="14" t="n">
        <v>46246.3347222222</v>
      </c>
      <c r="E28" s="14" t="n">
        <v>46246.6631944445</v>
      </c>
      <c r="F28" s="9" t="n">
        <v>7.88</v>
      </c>
      <c r="G28" s="9" t="n">
        <v>1.25</v>
      </c>
      <c r="H28" s="9" t="n">
        <v>6.63</v>
      </c>
      <c r="I28" s="8" t="n">
        <v>1</v>
      </c>
    </row>
    <row r="29" customFormat="false" ht="15" hidden="false" customHeight="false" outlineLevel="0" collapsed="false">
      <c r="A29" s="13" t="n">
        <v>46247</v>
      </c>
      <c r="B29" s="7" t="s">
        <v>29</v>
      </c>
      <c r="C29" s="7" t="s">
        <v>30</v>
      </c>
      <c r="D29" s="14" t="n">
        <v>46247.3361111111</v>
      </c>
      <c r="E29" s="14" t="n">
        <v>46247.6680555556</v>
      </c>
      <c r="F29" s="9" t="n">
        <v>7.97</v>
      </c>
      <c r="G29" s="9" t="n">
        <v>0.5</v>
      </c>
      <c r="H29" s="9" t="n">
        <v>7.47</v>
      </c>
      <c r="I29" s="8" t="n">
        <v>1</v>
      </c>
    </row>
    <row r="30" customFormat="false" ht="15" hidden="false" customHeight="false" outlineLevel="0" collapsed="false">
      <c r="A30" s="13" t="n">
        <v>46248</v>
      </c>
      <c r="B30" s="7" t="s">
        <v>29</v>
      </c>
      <c r="C30" s="7" t="s">
        <v>30</v>
      </c>
      <c r="D30" s="14" t="n">
        <v>46248.3375</v>
      </c>
      <c r="E30" s="14" t="n">
        <v>46248.6986111111</v>
      </c>
      <c r="F30" s="9" t="n">
        <v>8.67</v>
      </c>
      <c r="G30" s="9" t="n">
        <v>0.75</v>
      </c>
      <c r="H30" s="9" t="n">
        <v>7.92</v>
      </c>
      <c r="I30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6" t="s">
        <v>41</v>
      </c>
    </row>
    <row r="4" customFormat="false" ht="43.5" hidden="false" customHeight="true" outlineLevel="0" collapsed="false">
      <c r="B4" s="17" t="s">
        <v>42</v>
      </c>
      <c r="C4" s="18" t="s">
        <v>43</v>
      </c>
    </row>
    <row r="6" customFormat="false" ht="43.5" hidden="false" customHeight="true" outlineLevel="0" collapsed="false">
      <c r="B6" s="17" t="s">
        <v>44</v>
      </c>
      <c r="C6" s="18" t="s">
        <v>45</v>
      </c>
    </row>
    <row r="8" customFormat="false" ht="43.5" hidden="false" customHeight="true" outlineLevel="0" collapsed="false">
      <c r="B8" s="17" t="s">
        <v>46</v>
      </c>
      <c r="C8" s="18" t="s">
        <v>47</v>
      </c>
    </row>
    <row r="10" customFormat="false" ht="43.5" hidden="false" customHeight="true" outlineLevel="0" collapsed="false">
      <c r="B10" s="17" t="s">
        <v>48</v>
      </c>
      <c r="C10" s="18" t="s">
        <v>49</v>
      </c>
    </row>
    <row r="12" customFormat="false" ht="43.5" hidden="false" customHeight="true" outlineLevel="0" collapsed="false">
      <c r="B12" s="17" t="s">
        <v>35</v>
      </c>
      <c r="C12" s="18" t="s">
        <v>50</v>
      </c>
    </row>
    <row r="14" customFormat="false" ht="43.5" hidden="false" customHeight="true" outlineLevel="0" collapsed="false">
      <c r="B14" s="17" t="s">
        <v>51</v>
      </c>
      <c r="C14" s="18" t="s">
        <v>52</v>
      </c>
    </row>
    <row r="16" customFormat="false" ht="43.5" hidden="false" customHeight="true" outlineLevel="0" collapsed="false">
      <c r="B16" s="17" t="s">
        <v>53</v>
      </c>
      <c r="C16" s="18" t="s">
        <v>54</v>
      </c>
    </row>
    <row r="18" customFormat="false" ht="43.5" hidden="false" customHeight="true" outlineLevel="0" collapsed="false">
      <c r="B18" s="17" t="s">
        <v>55</v>
      </c>
      <c r="C18" s="1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2026-08-19T19:54:28Z</dcterms:created>
  <dc:creator>openpyxl</dc:creator>
  <dc:description/>
  <dc:language>en-US</dc:language>
  <cp:lastModifiedBy/>
  <dcterms:modified xsi:type="dcterms:W3CDTF">2026-08-19T19:54:28Z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